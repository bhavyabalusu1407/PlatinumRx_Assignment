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9c41b0b788193/Documents/"/>
    </mc:Choice>
  </mc:AlternateContent>
  <xr:revisionPtr revIDLastSave="150" documentId="8_{0E4DE22F-8D68-431C-9619-6A03A665E43B}" xr6:coauthVersionLast="47" xr6:coauthVersionMax="47" xr10:uidLastSave="{DA98946C-7B51-4E92-93B3-E7E13EA40EF0}"/>
  <bookViews>
    <workbookView xWindow="-108" yWindow="-108" windowWidth="23256" windowHeight="12456" activeTab="3" xr2:uid="{60552E4A-1F49-4E5A-8B6F-C1EE7CFF9439}"/>
  </bookViews>
  <sheets>
    <sheet name="Same Day" sheetId="4" r:id="rId1"/>
    <sheet name="Same Hour" sheetId="5" r:id="rId2"/>
    <sheet name="ticket" sheetId="1" r:id="rId3"/>
    <sheet name="feedbacks" sheetId="2" r:id="rId4"/>
  </sheets>
  <calcPr calcId="191029"/>
  <pivotCaches>
    <pivotCache cacheId="18" r:id="rId5"/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  <c r="G3" i="1"/>
  <c r="G4" i="1"/>
  <c r="G2" i="1"/>
  <c r="F4" i="1"/>
  <c r="F3" i="1"/>
  <c r="F2" i="1"/>
</calcChain>
</file>

<file path=xl/sharedStrings.xml><?xml version="1.0" encoding="utf-8"?>
<sst xmlns="http://schemas.openxmlformats.org/spreadsheetml/2006/main" count="43" uniqueCount="26">
  <si>
    <t>ticket_id</t>
  </si>
  <si>
    <t>created_at</t>
  </si>
  <si>
    <t>closed_at</t>
  </si>
  <si>
    <t>outlet_id</t>
  </si>
  <si>
    <t>cms_id</t>
  </si>
  <si>
    <t>t1</t>
  </si>
  <si>
    <t>t2</t>
  </si>
  <si>
    <t>t3</t>
  </si>
  <si>
    <t>o1</t>
  </si>
  <si>
    <t>o2</t>
  </si>
  <si>
    <t>c1</t>
  </si>
  <si>
    <t>c2</t>
  </si>
  <si>
    <t>c3</t>
  </si>
  <si>
    <t>ticket_created_at</t>
  </si>
  <si>
    <t xml:space="preserve">feedback_at </t>
  </si>
  <si>
    <t>feedback_rating</t>
  </si>
  <si>
    <t>Sameday</t>
  </si>
  <si>
    <t>Same hour</t>
  </si>
  <si>
    <t>Yes</t>
  </si>
  <si>
    <t>No</t>
  </si>
  <si>
    <t>Column Labels</t>
  </si>
  <si>
    <t>Count of ticket_id</t>
  </si>
  <si>
    <t xml:space="preserve"> Total</t>
  </si>
  <si>
    <t>Total</t>
  </si>
  <si>
    <t>Count of Tickets on Same Day</t>
  </si>
  <si>
    <t>Count of tickets on same hour of the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</si>
</sst>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ya" refreshedDate="46121.000873611112" createdVersion="8" refreshedVersion="8" minRefreshableVersion="3" recordCount="4" xr:uid="{AB338DEC-93A3-460C-9FA6-8A81BCF458B0}">
  <cacheSource type="worksheet">
    <worksheetSource ref="A1:G100" sheet="ticket"/>
  </cacheSource>
  <cacheFields count="7">
    <cacheField name="ticket_id" numFmtId="0">
      <sharedItems containsBlank="1" count="4">
        <s v="t1"/>
        <s v="t2"/>
        <s v="t3"/>
        <m/>
      </sharedItems>
    </cacheField>
    <cacheField name="created_at" numFmtId="0">
      <sharedItems containsNonDate="0" containsDate="1" containsString="0" containsBlank="1" minDate="2021-08-19T16:45:43" maxDate="2021-08-22T10:00:00"/>
    </cacheField>
    <cacheField name="closed_at" numFmtId="0">
      <sharedItems containsNonDate="0" containsDate="1" containsString="0" containsBlank="1" minDate="2021-08-21T11:13:45" maxDate="2021-08-23T12:00:00"/>
    </cacheField>
    <cacheField name="outlet_id" numFmtId="0">
      <sharedItems containsBlank="1" count="3">
        <s v="o1"/>
        <s v="o2"/>
        <m/>
      </sharedItems>
    </cacheField>
    <cacheField name="cms_id" numFmtId="0">
      <sharedItems containsBlank="1"/>
    </cacheField>
    <cacheField name="Sameday" numFmtId="0">
      <sharedItems containsBlank="1" count="3">
        <s v="Yes"/>
        <s v="No"/>
        <m/>
      </sharedItems>
    </cacheField>
    <cacheField name="Same hou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ya" refreshedDate="46121.005129050929" createdVersion="8" refreshedVersion="8" minRefreshableVersion="3" recordCount="3" xr:uid="{C657E6D5-47F1-40D8-959E-65EC93D39329}">
  <cacheSource type="worksheet">
    <worksheetSource ref="A1:G4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08-22T10:00:00"/>
    </cacheField>
    <cacheField name="closed_at" numFmtId="22">
      <sharedItems containsSemiMixedTypes="0" containsNonDate="0" containsDate="1" containsString="0" minDate="2021-08-21T11:13:45" maxDate="2021-08-23T12:00:00"/>
    </cacheField>
    <cacheField name="outlet_id" numFmtId="0">
      <sharedItems count="2">
        <s v="o1"/>
        <s v="o2"/>
      </sharedItems>
    </cacheField>
    <cacheField name="cms_id" numFmtId="0">
      <sharedItems/>
    </cacheField>
    <cacheField name="Sameday" numFmtId="0">
      <sharedItems/>
    </cacheField>
    <cacheField name="Same hou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d v="2021-08-19T16:45:43"/>
    <d v="2021-08-22T12:33:32"/>
    <x v="0"/>
    <s v="c1"/>
    <x v="0"/>
    <s v="No"/>
  </r>
  <r>
    <x v="1"/>
    <d v="2021-08-21T11:09:22"/>
    <d v="2021-08-21T11:13:45"/>
    <x v="1"/>
    <s v="c2"/>
    <x v="0"/>
    <s v="Yes"/>
  </r>
  <r>
    <x v="2"/>
    <d v="2021-08-22T10:00:00"/>
    <d v="2021-08-23T12:00:00"/>
    <x v="0"/>
    <s v="c3"/>
    <x v="1"/>
    <s v="No"/>
  </r>
  <r>
    <x v="3"/>
    <m/>
    <m/>
    <x v="2"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1"/>
    <d v="2021-08-19T16:45:43"/>
    <d v="2021-08-22T12:33:32"/>
    <x v="0"/>
    <s v="c1"/>
    <s v="Yes"/>
    <x v="0"/>
  </r>
  <r>
    <s v="t2"/>
    <d v="2021-08-21T11:09:22"/>
    <d v="2021-08-21T11:13:45"/>
    <x v="1"/>
    <s v="c2"/>
    <s v="Yes"/>
    <x v="1"/>
  </r>
  <r>
    <s v="t3"/>
    <d v="2021-08-22T10:00:00"/>
    <d v="2021-08-23T12:00:00"/>
    <x v="0"/>
    <s v="c3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C8572-1597-4E5E-8FAB-2F7A144DFC99}" name="PivotTable2" cacheId="18" applyNumberFormats="0" applyBorderFormats="0" applyFontFormats="0" applyPatternFormats="0" applyAlignmentFormats="0" applyWidthHeightFormats="1" dataCaption="Values" grandTotalCaption=" Total" updatedVersion="8" minRefreshableVersion="3" useAutoFormatting="1" itemPrintTitles="1" createdVersion="8" indent="0" outline="1" outlineData="1" multipleFieldFilters="0" rowHeaderCaption="outlet_id">
  <location ref="A3:D7" firstHeaderRow="1" firstDataRow="2" firstDataCol="1"/>
  <pivotFields count="7">
    <pivotField dataField="1" showAll="0">
      <items count="5">
        <item x="0"/>
        <item x="1"/>
        <item x="2"/>
        <item x="3"/>
        <item t="default"/>
      </items>
    </pivotField>
    <pivotField showAll="0"/>
    <pivotField showAll="0"/>
    <pivotField axis="axisRow" compact="0" subtotalTop="0" showAll="0" defaultSubtotal="0">
      <items count="3">
        <item x="0"/>
        <item x="1"/>
        <item h="1" x="2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BD142-4385-4C84-B2DD-E84C3CF6673B}" name="PivotTable3" cacheId="17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outlet_id">
  <location ref="A3:D7" firstHeaderRow="1" firstDataRow="2" firstDataCol="1"/>
  <pivotFields count="7">
    <pivotField dataField="1" showAll="0"/>
    <pivotField numFmtId="22" showAll="0"/>
    <pivotField numFmtId="22"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9B5B-D7CD-4FF8-AFA3-0ABBD55CA3A5}">
  <dimension ref="A1:D7"/>
  <sheetViews>
    <sheetView zoomScaleNormal="100" workbookViewId="0">
      <selection activeCell="D20" sqref="D20"/>
    </sheetView>
  </sheetViews>
  <sheetFormatPr defaultRowHeight="14.4" x14ac:dyDescent="0.3"/>
  <cols>
    <col min="1" max="2" width="15.5546875" bestFit="1" customWidth="1"/>
    <col min="3" max="3" width="3.88671875" bestFit="1" customWidth="1"/>
    <col min="4" max="5" width="5.44140625" bestFit="1" customWidth="1"/>
  </cols>
  <sheetData>
    <row r="1" spans="1:4" ht="18" x14ac:dyDescent="0.35">
      <c r="B1" s="7" t="s">
        <v>24</v>
      </c>
    </row>
    <row r="2" spans="1:4" x14ac:dyDescent="0.3">
      <c r="A2" s="1"/>
    </row>
    <row r="3" spans="1:4" x14ac:dyDescent="0.3">
      <c r="A3" s="3" t="s">
        <v>21</v>
      </c>
      <c r="B3" s="3" t="s">
        <v>20</v>
      </c>
    </row>
    <row r="4" spans="1:4" x14ac:dyDescent="0.3">
      <c r="A4" s="3" t="s">
        <v>3</v>
      </c>
      <c r="B4" t="s">
        <v>19</v>
      </c>
      <c r="C4" t="s">
        <v>18</v>
      </c>
      <c r="D4" t="s">
        <v>22</v>
      </c>
    </row>
    <row r="5" spans="1:4" x14ac:dyDescent="0.3">
      <c r="A5" s="4" t="s">
        <v>8</v>
      </c>
      <c r="B5" s="5">
        <v>1</v>
      </c>
      <c r="C5" s="5">
        <v>1</v>
      </c>
      <c r="D5" s="5">
        <v>2</v>
      </c>
    </row>
    <row r="6" spans="1:4" x14ac:dyDescent="0.3">
      <c r="A6" s="4" t="s">
        <v>9</v>
      </c>
      <c r="B6" s="5"/>
      <c r="C6" s="5">
        <v>1</v>
      </c>
      <c r="D6" s="5">
        <v>1</v>
      </c>
    </row>
    <row r="7" spans="1:4" x14ac:dyDescent="0.3">
      <c r="A7" s="4" t="s">
        <v>22</v>
      </c>
      <c r="B7" s="5">
        <v>1</v>
      </c>
      <c r="C7" s="5">
        <v>2</v>
      </c>
      <c r="D7" s="5">
        <v>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B87F-1F5A-4EDF-BCF9-DA24C4EE2BC4}">
  <dimension ref="A1:D7"/>
  <sheetViews>
    <sheetView workbookViewId="0">
      <selection activeCell="A5" sqref="A5"/>
    </sheetView>
  </sheetViews>
  <sheetFormatPr defaultRowHeight="14.4" x14ac:dyDescent="0.3"/>
  <cols>
    <col min="1" max="2" width="15.5546875" bestFit="1" customWidth="1"/>
    <col min="3" max="3" width="3.88671875" bestFit="1" customWidth="1"/>
    <col min="4" max="5" width="10.5546875" bestFit="1" customWidth="1"/>
  </cols>
  <sheetData>
    <row r="1" spans="1:4" ht="18" x14ac:dyDescent="0.35">
      <c r="B1" s="7" t="s">
        <v>25</v>
      </c>
    </row>
    <row r="3" spans="1:4" x14ac:dyDescent="0.3">
      <c r="A3" s="3" t="s">
        <v>21</v>
      </c>
      <c r="B3" s="3" t="s">
        <v>20</v>
      </c>
    </row>
    <row r="4" spans="1:4" x14ac:dyDescent="0.3">
      <c r="A4" s="3" t="s">
        <v>3</v>
      </c>
      <c r="B4" t="s">
        <v>19</v>
      </c>
      <c r="C4" t="s">
        <v>18</v>
      </c>
      <c r="D4" t="s">
        <v>23</v>
      </c>
    </row>
    <row r="5" spans="1:4" x14ac:dyDescent="0.3">
      <c r="A5" s="4" t="s">
        <v>8</v>
      </c>
      <c r="B5" s="5">
        <v>2</v>
      </c>
      <c r="C5" s="5"/>
      <c r="D5" s="5">
        <v>2</v>
      </c>
    </row>
    <row r="6" spans="1:4" x14ac:dyDescent="0.3">
      <c r="A6" s="4" t="s">
        <v>9</v>
      </c>
      <c r="B6" s="5"/>
      <c r="C6" s="5">
        <v>1</v>
      </c>
      <c r="D6" s="5">
        <v>1</v>
      </c>
    </row>
    <row r="7" spans="1:4" x14ac:dyDescent="0.3">
      <c r="A7" s="4" t="s">
        <v>23</v>
      </c>
      <c r="B7" s="5">
        <v>2</v>
      </c>
      <c r="C7" s="5">
        <v>1</v>
      </c>
      <c r="D7" s="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D517-19EF-4CB1-B834-1AB98F540340}">
  <dimension ref="A1:H4"/>
  <sheetViews>
    <sheetView workbookViewId="0">
      <selection activeCell="G1" sqref="G1"/>
    </sheetView>
  </sheetViews>
  <sheetFormatPr defaultRowHeight="14.4" x14ac:dyDescent="0.3"/>
  <cols>
    <col min="1" max="1" width="8.88671875" customWidth="1"/>
    <col min="2" max="2" width="21" customWidth="1"/>
    <col min="3" max="3" width="20" customWidth="1"/>
    <col min="4" max="4" width="13.109375" customWidth="1"/>
    <col min="5" max="5" width="12.88671875" customWidth="1"/>
    <col min="6" max="6" width="9.6640625" customWidth="1"/>
    <col min="7" max="7" width="13.44140625" customWidth="1"/>
    <col min="8" max="8" width="21.44140625" customWidth="1"/>
  </cols>
  <sheetData>
    <row r="1" spans="1:8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16</v>
      </c>
      <c r="G1" s="6" t="s">
        <v>17</v>
      </c>
      <c r="H1" s="1"/>
    </row>
    <row r="2" spans="1:8" x14ac:dyDescent="0.3">
      <c r="A2" t="s">
        <v>5</v>
      </c>
      <c r="B2" s="2">
        <v>44427.698414351849</v>
      </c>
      <c r="C2" s="2">
        <v>44430.523287037038</v>
      </c>
      <c r="D2" t="s">
        <v>8</v>
      </c>
      <c r="E2" t="s">
        <v>10</v>
      </c>
      <c r="F2" t="str">
        <f>IF(INT(B3)=INT(C3),"Yes","No")</f>
        <v>Yes</v>
      </c>
      <c r="G2" t="str">
        <f>IF(HOUR(B2)=HOUR(C2),"Yes","No")</f>
        <v>No</v>
      </c>
    </row>
    <row r="3" spans="1:8" x14ac:dyDescent="0.3">
      <c r="A3" t="s">
        <v>6</v>
      </c>
      <c r="B3" s="2">
        <v>44429.464837962965</v>
      </c>
      <c r="C3" s="2">
        <v>44429.467881944445</v>
      </c>
      <c r="D3" t="s">
        <v>9</v>
      </c>
      <c r="E3" t="s">
        <v>11</v>
      </c>
      <c r="F3" t="str">
        <f>IF(INT(B3)=INT(C3),"Yes","No")</f>
        <v>Yes</v>
      </c>
      <c r="G3" t="str">
        <f t="shared" ref="G3:G4" si="0">IF(HOUR(B3)=HOUR(C3),"Yes","No")</f>
        <v>Yes</v>
      </c>
    </row>
    <row r="4" spans="1:8" x14ac:dyDescent="0.3">
      <c r="A4" t="s">
        <v>7</v>
      </c>
      <c r="B4" s="2">
        <v>44430.416666666664</v>
      </c>
      <c r="C4" s="2">
        <v>44431.5</v>
      </c>
      <c r="D4" t="s">
        <v>8</v>
      </c>
      <c r="E4" t="s">
        <v>12</v>
      </c>
      <c r="F4" t="str">
        <f>IF(INT(B4)=INT(C4),"Yes","No")</f>
        <v>No</v>
      </c>
      <c r="G4" t="str">
        <f t="shared" si="0"/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46F3-35E3-4984-970F-CF80CFEC3A18}">
  <dimension ref="A1:F4"/>
  <sheetViews>
    <sheetView tabSelected="1" workbookViewId="0">
      <selection activeCell="D11" sqref="D11"/>
    </sheetView>
  </sheetViews>
  <sheetFormatPr defaultRowHeight="14.4" x14ac:dyDescent="0.3"/>
  <cols>
    <col min="2" max="2" width="17.6640625" customWidth="1"/>
    <col min="3" max="3" width="21.109375" customWidth="1"/>
    <col min="4" max="4" width="15.33203125" bestFit="1" customWidth="1"/>
  </cols>
  <sheetData>
    <row r="1" spans="1:6" ht="15.6" x14ac:dyDescent="0.3">
      <c r="A1" s="6" t="s">
        <v>4</v>
      </c>
      <c r="B1" s="6" t="s">
        <v>14</v>
      </c>
      <c r="C1" s="6" t="s">
        <v>15</v>
      </c>
      <c r="D1" s="6" t="s">
        <v>13</v>
      </c>
      <c r="E1" s="1"/>
      <c r="F1" s="1"/>
    </row>
    <row r="2" spans="1:6" x14ac:dyDescent="0.3">
      <c r="A2" t="s">
        <v>10</v>
      </c>
      <c r="B2" s="2">
        <v>44427.822916666664</v>
      </c>
      <c r="C2">
        <v>3</v>
      </c>
      <c r="D2" s="2">
        <f>_xlfn.XLOOKUP(A2, ticket!E:E, ticket!B:B)</f>
        <v>44427.698414351849</v>
      </c>
    </row>
    <row r="3" spans="1:6" x14ac:dyDescent="0.3">
      <c r="A3" t="s">
        <v>11</v>
      </c>
      <c r="B3" s="2">
        <v>44430.5</v>
      </c>
      <c r="C3">
        <v>4</v>
      </c>
      <c r="D3" s="2">
        <f>_xlfn.XLOOKUP(A3, ticket!E:E, ticket!B:B)</f>
        <v>44429.464837962965</v>
      </c>
    </row>
    <row r="4" spans="1:6" x14ac:dyDescent="0.3">
      <c r="A4" t="s">
        <v>12</v>
      </c>
      <c r="B4" s="2">
        <v>44430.625</v>
      </c>
      <c r="C4">
        <v>5</v>
      </c>
      <c r="D4" s="2">
        <f>_xlfn.XLOOKUP(A4, ticket!E:E, ticket!B:B)</f>
        <v>44430.416666666664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Same Day</vt:lpstr>
      <vt:lpstr>Same Hour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Balusu</dc:creator>
  <cp:lastModifiedBy>Bhavya Balusu</cp:lastModifiedBy>
  <dcterms:created xsi:type="dcterms:W3CDTF">2026-04-08T16:28:06Z</dcterms:created>
  <dcterms:modified xsi:type="dcterms:W3CDTF">2026-04-08T18:54:08Z</dcterms:modified>
</cp:coreProperties>
</file>